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vell\Documents\Git\sisav-tools\"/>
    </mc:Choice>
  </mc:AlternateContent>
  <xr:revisionPtr revIDLastSave="0" documentId="13_ncr:1_{00A32FBF-ADF9-487F-BAFA-03BD20A2776F}" xr6:coauthVersionLast="47" xr6:coauthVersionMax="47" xr10:uidLastSave="{00000000-0000-0000-0000-000000000000}"/>
  <bookViews>
    <workbookView xWindow="4100" yWindow="4100" windowWidth="21560" windowHeight="11170" xr2:uid="{00000000-000D-0000-FFFF-FFFF00000000}"/>
  </bookViews>
  <sheets>
    <sheet name="Faltas (Modelo B)" sheetId="4" r:id="rId1"/>
    <sheet name="Faltas (Modelo A)" sheetId="2" r:id="rId2"/>
    <sheet name="Nota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4" l="1"/>
  <c r="I17" i="4"/>
  <c r="I15" i="4"/>
  <c r="I14" i="4"/>
  <c r="I13" i="4"/>
  <c r="J1" i="4"/>
  <c r="K1" i="4"/>
  <c r="L1" i="4"/>
  <c r="M1" i="4"/>
  <c r="N1" i="4"/>
  <c r="O1" i="4"/>
  <c r="P1" i="4"/>
  <c r="I1" i="4"/>
  <c r="J14" i="2"/>
  <c r="L14" i="2"/>
  <c r="N14" i="2"/>
  <c r="P14" i="2"/>
  <c r="J15" i="2"/>
  <c r="M15" i="2"/>
  <c r="O15" i="2"/>
  <c r="P15" i="2"/>
  <c r="J16" i="2"/>
  <c r="K16" i="2"/>
  <c r="L16" i="2"/>
  <c r="M16" i="2"/>
  <c r="O16" i="2"/>
  <c r="P16" i="2"/>
  <c r="H15" i="2"/>
  <c r="H16" i="2"/>
  <c r="H14" i="2"/>
  <c r="J13" i="2"/>
  <c r="K13" i="2"/>
  <c r="K14" i="2" s="1"/>
  <c r="L13" i="2"/>
  <c r="L15" i="2" s="1"/>
  <c r="M13" i="2"/>
  <c r="M14" i="2" s="1"/>
  <c r="N13" i="2"/>
  <c r="N16" i="2" s="1"/>
  <c r="O13" i="2"/>
  <c r="O14" i="2" s="1"/>
  <c r="P13" i="2"/>
  <c r="I13" i="2"/>
  <c r="I22" i="2" s="1"/>
  <c r="J12" i="2"/>
  <c r="K12" i="2"/>
  <c r="L12" i="2"/>
  <c r="M12" i="2"/>
  <c r="N12" i="2"/>
  <c r="O12" i="2"/>
  <c r="P12" i="2"/>
  <c r="I12" i="2"/>
  <c r="D3" i="1"/>
  <c r="D4" i="1"/>
  <c r="D2" i="1"/>
  <c r="N15" i="2" l="1"/>
  <c r="I21" i="2"/>
  <c r="I14" i="2"/>
  <c r="I23" i="2" s="1"/>
  <c r="I16" i="2"/>
  <c r="I25" i="2" s="1"/>
  <c r="I15" i="2"/>
  <c r="K15" i="2"/>
  <c r="I24" i="2" l="1"/>
</calcChain>
</file>

<file path=xl/sharedStrings.xml><?xml version="1.0" encoding="utf-8"?>
<sst xmlns="http://schemas.openxmlformats.org/spreadsheetml/2006/main" count="81" uniqueCount="30">
  <si>
    <t>Nome</t>
  </si>
  <si>
    <t>Fulano</t>
  </si>
  <si>
    <t>Ciclano</t>
  </si>
  <si>
    <t>Beltrano</t>
  </si>
  <si>
    <t>RA</t>
  </si>
  <si>
    <t>Nota Prova 1</t>
  </si>
  <si>
    <t>Copie e cole as linhas abaixo (nesta coluna) e cole na extensão.</t>
  </si>
  <si>
    <t>RELAÇÃO DE ALUNOS MATRICULADOS - Turma GD068972026000200</t>
  </si>
  <si>
    <t/>
  </si>
  <si>
    <t>EMAIL</t>
  </si>
  <si>
    <t>NOME</t>
  </si>
  <si>
    <t>TIPO</t>
  </si>
  <si>
    <t>CPF</t>
  </si>
  <si>
    <t>SITUACAO</t>
  </si>
  <si>
    <t>CD_DISCIPLINA</t>
  </si>
  <si>
    <t>NUMERO_TURMA</t>
  </si>
  <si>
    <t>Discente</t>
  </si>
  <si>
    <t>Matriculado(a)</t>
  </si>
  <si>
    <t>Relatório gerado por dssvaz em 10/07/2026 12:36:39, não nos responsabilizamos por qualquer alteração após a emissão deste relatório.</t>
  </si>
  <si>
    <t>ra951774@uem.br</t>
  </si>
  <si>
    <t>ra617977@uem.br</t>
  </si>
  <si>
    <t>ra339483@uem.br</t>
  </si>
  <si>
    <t>951.774.951-77</t>
  </si>
  <si>
    <t>617.977.617-97</t>
  </si>
  <si>
    <t>339.483.339-48</t>
  </si>
  <si>
    <t>x</t>
  </si>
  <si>
    <t>TABELA DE CONVERSÃO DE QUANTIDADE DE FALTAS NOS DIAS PARA O FORMATO ACEITO PELA EXTENSÃO - ATENTE-SE ÀS FÓRMULAS</t>
  </si>
  <si>
    <t>TABELA DE CONVERSÃO DE X (MARCANDO A PRESENÇA) PARA FALTAS NO DIA - ATENTE-SE ÀS FÓRMULAS</t>
  </si>
  <si>
    <t>Copie todas as as linhas da tabela de conversão apresentada acima e cole na extensão.</t>
  </si>
  <si>
    <t>Necessário converter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</si>
</sst>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49" fontId="1" fillId="0" borderId="0" xfId="1" applyNumberFormat="1"/>
    <xf numFmtId="49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9" fontId="1" fillId="0" borderId="0" xfId="1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1" fontId="1" fillId="0" borderId="0" xfId="1" applyNumberFormat="1" applyFill="1"/>
    <xf numFmtId="1" fontId="0" fillId="0" borderId="0" xfId="0" applyNumberFormat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8877FA70-64B7-492F-8D8A-4817682D34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832E-F08B-4583-ABE6-B0738EEAAFD3}">
  <dimension ref="A1:R20"/>
  <sheetViews>
    <sheetView tabSelected="1" topLeftCell="C1" workbookViewId="0">
      <selection activeCell="J17" sqref="J17"/>
    </sheetView>
  </sheetViews>
  <sheetFormatPr defaultRowHeight="14.5" x14ac:dyDescent="0.35"/>
  <cols>
    <col min="1" max="1" width="9.26953125" customWidth="1"/>
    <col min="2" max="2" width="17.26953125" customWidth="1"/>
    <col min="3" max="4" width="8.6328125" customWidth="1"/>
    <col min="5" max="6" width="17.26953125" customWidth="1"/>
    <col min="7" max="7" width="6.90625" customWidth="1"/>
    <col min="8" max="8" width="11" customWidth="1"/>
    <col min="9" max="16" width="12.26953125" customWidth="1"/>
  </cols>
  <sheetData>
    <row r="1" spans="1:18" x14ac:dyDescent="0.35">
      <c r="A1" s="6" t="s">
        <v>7</v>
      </c>
      <c r="B1" s="7"/>
      <c r="C1" s="7"/>
      <c r="D1" s="7"/>
      <c r="E1" s="7"/>
      <c r="F1" s="17" t="s">
        <v>29</v>
      </c>
      <c r="G1" s="17"/>
      <c r="H1" s="17"/>
      <c r="I1" t="str">
        <f>TEXT(I2, "dd/mm/aaaa")</f>
        <v>04/07/2026</v>
      </c>
      <c r="J1" t="str">
        <f t="shared" ref="J1:P1" si="0">TEXT(J2, "dd/mm/aaaa")</f>
        <v>08/07/2026</v>
      </c>
      <c r="K1" t="str">
        <f t="shared" si="0"/>
        <v>11/07/2026</v>
      </c>
      <c r="L1" t="str">
        <f t="shared" si="0"/>
        <v>15/07/2026</v>
      </c>
      <c r="M1" t="str">
        <f t="shared" si="0"/>
        <v>18/07/2026</v>
      </c>
      <c r="N1" t="str">
        <f t="shared" si="0"/>
        <v>22/07/2026</v>
      </c>
      <c r="O1" t="str">
        <f t="shared" si="0"/>
        <v>25/07/2026</v>
      </c>
      <c r="P1" t="str">
        <f t="shared" si="0"/>
        <v>27/07/2026</v>
      </c>
    </row>
    <row r="2" spans="1:18" x14ac:dyDescent="0.35">
      <c r="A2" s="6" t="s">
        <v>8</v>
      </c>
      <c r="B2" s="7"/>
      <c r="C2" s="7"/>
      <c r="D2" s="7"/>
      <c r="E2" s="7"/>
      <c r="F2" s="4"/>
      <c r="G2" s="4"/>
      <c r="H2" s="4"/>
      <c r="I2" s="11">
        <v>46207</v>
      </c>
      <c r="J2" s="11">
        <v>46211</v>
      </c>
      <c r="K2" s="11">
        <v>46214</v>
      </c>
      <c r="L2" s="11">
        <v>46218</v>
      </c>
      <c r="M2" s="11">
        <v>46221</v>
      </c>
      <c r="N2" s="11">
        <v>46225</v>
      </c>
      <c r="O2" s="11">
        <v>46228</v>
      </c>
      <c r="P2" s="11">
        <v>46230</v>
      </c>
    </row>
    <row r="3" spans="1:18" x14ac:dyDescent="0.35">
      <c r="A3" s="4" t="s">
        <v>4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>
        <v>2</v>
      </c>
      <c r="J3">
        <v>3</v>
      </c>
      <c r="K3">
        <v>2</v>
      </c>
      <c r="L3">
        <v>3</v>
      </c>
      <c r="M3">
        <v>2</v>
      </c>
      <c r="N3">
        <v>3</v>
      </c>
      <c r="O3">
        <v>2</v>
      </c>
      <c r="P3">
        <v>3</v>
      </c>
      <c r="Q3" s="10"/>
      <c r="R3" s="10"/>
    </row>
    <row r="4" spans="1:18" x14ac:dyDescent="0.35">
      <c r="A4" s="9">
        <v>951774</v>
      </c>
      <c r="B4" s="8" t="s">
        <v>19</v>
      </c>
      <c r="C4" s="9" t="s">
        <v>1</v>
      </c>
      <c r="D4" s="8" t="s">
        <v>16</v>
      </c>
      <c r="E4" s="8" t="s">
        <v>22</v>
      </c>
      <c r="F4" s="8" t="s">
        <v>17</v>
      </c>
      <c r="G4" s="8">
        <v>9999</v>
      </c>
      <c r="H4" s="8">
        <v>1</v>
      </c>
      <c r="I4" s="15">
        <v>2</v>
      </c>
      <c r="J4" s="15">
        <v>0</v>
      </c>
      <c r="K4" s="16">
        <v>2</v>
      </c>
      <c r="L4" s="16">
        <v>0</v>
      </c>
      <c r="M4" s="16">
        <v>2</v>
      </c>
      <c r="N4" s="16">
        <v>0</v>
      </c>
      <c r="O4" s="16">
        <v>2</v>
      </c>
      <c r="P4" s="16">
        <v>0</v>
      </c>
    </row>
    <row r="5" spans="1:18" x14ac:dyDescent="0.35">
      <c r="A5" s="9">
        <v>617977</v>
      </c>
      <c r="B5" s="8" t="s">
        <v>20</v>
      </c>
      <c r="C5" s="9" t="s">
        <v>2</v>
      </c>
      <c r="D5" s="8" t="s">
        <v>16</v>
      </c>
      <c r="E5" s="8" t="s">
        <v>23</v>
      </c>
      <c r="F5" s="8" t="s">
        <v>17</v>
      </c>
      <c r="G5" s="8">
        <v>9999</v>
      </c>
      <c r="H5" s="8">
        <v>1</v>
      </c>
      <c r="I5" s="16">
        <v>2</v>
      </c>
      <c r="J5" s="16">
        <v>0</v>
      </c>
      <c r="K5" s="16">
        <v>2</v>
      </c>
      <c r="L5" s="16">
        <v>3</v>
      </c>
      <c r="M5" s="16">
        <v>0</v>
      </c>
      <c r="N5" s="16">
        <v>3</v>
      </c>
      <c r="O5" s="16">
        <v>0</v>
      </c>
      <c r="P5" s="16">
        <v>0</v>
      </c>
    </row>
    <row r="6" spans="1:18" x14ac:dyDescent="0.35">
      <c r="A6" s="9">
        <v>339483</v>
      </c>
      <c r="B6" s="8" t="s">
        <v>21</v>
      </c>
      <c r="C6" s="9" t="s">
        <v>3</v>
      </c>
      <c r="D6" s="8" t="s">
        <v>16</v>
      </c>
      <c r="E6" s="8" t="s">
        <v>24</v>
      </c>
      <c r="F6" s="8" t="s">
        <v>17</v>
      </c>
      <c r="G6" s="8">
        <v>9999</v>
      </c>
      <c r="H6" s="8">
        <v>1</v>
      </c>
      <c r="I6" s="16">
        <v>2</v>
      </c>
      <c r="J6" s="16">
        <v>0</v>
      </c>
      <c r="K6" s="16">
        <v>0</v>
      </c>
      <c r="L6" s="16">
        <v>0</v>
      </c>
      <c r="M6" s="16">
        <v>0</v>
      </c>
      <c r="N6" s="16">
        <v>3</v>
      </c>
      <c r="O6" s="16">
        <v>0</v>
      </c>
      <c r="P6" s="16">
        <v>0</v>
      </c>
    </row>
    <row r="7" spans="1:18" x14ac:dyDescent="0.35">
      <c r="A7" s="6" t="s">
        <v>8</v>
      </c>
      <c r="B7" s="7"/>
      <c r="C7" s="7"/>
      <c r="D7" s="7"/>
      <c r="E7" s="7"/>
      <c r="F7" s="4"/>
      <c r="G7" s="4"/>
      <c r="H7" s="4"/>
    </row>
    <row r="8" spans="1:18" x14ac:dyDescent="0.35">
      <c r="A8" s="6" t="s">
        <v>18</v>
      </c>
      <c r="B8" s="7"/>
      <c r="C8" s="7"/>
      <c r="D8" s="7"/>
      <c r="E8" s="7"/>
      <c r="F8" s="4"/>
      <c r="G8" s="4"/>
      <c r="H8" s="4"/>
    </row>
    <row r="9" spans="1:18" x14ac:dyDescent="0.35">
      <c r="A9" s="5"/>
      <c r="B9" s="4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</row>
    <row r="11" spans="1:18" x14ac:dyDescent="0.35">
      <c r="G11" s="14" t="s">
        <v>26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3" spans="1:18" x14ac:dyDescent="0.35">
      <c r="I13" t="str">
        <f>_xlfn.CONCAT( _xlfn.TEXTJOIN("&amp;", FALSE,I1:P1),";")</f>
        <v>04/07/2026&amp;08/07/2026&amp;11/07/2026&amp;15/07/2026&amp;18/07/2026&amp;22/07/2026&amp;25/07/2026&amp;27/07/2026;</v>
      </c>
    </row>
    <row r="14" spans="1:18" x14ac:dyDescent="0.35">
      <c r="I14" t="str">
        <f>_xlfn.CONCAT(_xlfn.TEXTJOIN("&amp;", FALSE,I3:P3),";")</f>
        <v>2&amp;3&amp;2&amp;3&amp;2&amp;3&amp;2&amp;3;</v>
      </c>
    </row>
    <row r="15" spans="1:18" x14ac:dyDescent="0.35">
      <c r="I15" t="str">
        <f>_xlfn.CONCAT( _xlfn.TEXTJOIN("&amp;", FALSE,I4:P4),";")</f>
        <v>2&amp;0&amp;2&amp;0&amp;2&amp;0&amp;2&amp;0;</v>
      </c>
    </row>
    <row r="16" spans="1:18" x14ac:dyDescent="0.35">
      <c r="I16" t="str">
        <f t="shared" ref="I16:I17" si="1">_xlfn.CONCAT( _xlfn.TEXTJOIN("&amp;", FALSE,I5:P5),";")</f>
        <v>2&amp;0&amp;2&amp;3&amp;0&amp;3&amp;0&amp;0;</v>
      </c>
    </row>
    <row r="17" spans="7:18" x14ac:dyDescent="0.35">
      <c r="I17" t="str">
        <f t="shared" si="1"/>
        <v>2&amp;0&amp;0&amp;0&amp;0&amp;3&amp;0&amp;0;</v>
      </c>
    </row>
    <row r="20" spans="7:18" x14ac:dyDescent="0.35">
      <c r="G20" s="14" t="s">
        <v>28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</sheetData>
  <mergeCells count="7">
    <mergeCell ref="G20:R20"/>
    <mergeCell ref="F1:H1"/>
    <mergeCell ref="A1:E1"/>
    <mergeCell ref="A2:E2"/>
    <mergeCell ref="A7:E7"/>
    <mergeCell ref="A8:E8"/>
    <mergeCell ref="G11:R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9DC5-45A0-4A03-A03F-7D1705FDB531}">
  <dimension ref="A1:R28"/>
  <sheetViews>
    <sheetView topLeftCell="C13" workbookViewId="0">
      <selection activeCell="G29" sqref="G29"/>
    </sheetView>
  </sheetViews>
  <sheetFormatPr defaultRowHeight="14.5" x14ac:dyDescent="0.35"/>
  <cols>
    <col min="1" max="1" width="9.26953125" customWidth="1"/>
    <col min="2" max="2" width="17.26953125" customWidth="1"/>
    <col min="3" max="4" width="8.6328125" customWidth="1"/>
    <col min="5" max="6" width="17.26953125" customWidth="1"/>
    <col min="7" max="7" width="6.90625" customWidth="1"/>
    <col min="8" max="8" width="11" customWidth="1"/>
    <col min="9" max="16" width="12.26953125" customWidth="1"/>
  </cols>
  <sheetData>
    <row r="1" spans="1:18" x14ac:dyDescent="0.35">
      <c r="A1" s="6" t="s">
        <v>7</v>
      </c>
      <c r="B1" s="7"/>
      <c r="C1" s="7"/>
      <c r="D1" s="7"/>
      <c r="E1" s="7"/>
      <c r="F1" s="4"/>
      <c r="G1" s="4"/>
      <c r="H1" s="4"/>
    </row>
    <row r="2" spans="1:18" x14ac:dyDescent="0.35">
      <c r="A2" s="6" t="s">
        <v>8</v>
      </c>
      <c r="B2" s="7"/>
      <c r="C2" s="7"/>
      <c r="D2" s="7"/>
      <c r="E2" s="7"/>
      <c r="F2" s="4"/>
      <c r="G2" s="4"/>
      <c r="H2" s="4"/>
      <c r="I2" s="11">
        <v>46207</v>
      </c>
      <c r="J2" s="11">
        <v>46211</v>
      </c>
      <c r="K2" s="11">
        <v>46214</v>
      </c>
      <c r="L2" s="11">
        <v>46218</v>
      </c>
      <c r="M2" s="11">
        <v>46221</v>
      </c>
      <c r="N2" s="11">
        <v>46225</v>
      </c>
      <c r="O2" s="11">
        <v>46228</v>
      </c>
      <c r="P2" s="11">
        <v>46230</v>
      </c>
    </row>
    <row r="3" spans="1:18" x14ac:dyDescent="0.35">
      <c r="A3" s="4" t="s">
        <v>4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>
        <v>2</v>
      </c>
      <c r="J3">
        <v>3</v>
      </c>
      <c r="K3">
        <v>2</v>
      </c>
      <c r="L3">
        <v>3</v>
      </c>
      <c r="M3">
        <v>2</v>
      </c>
      <c r="N3">
        <v>3</v>
      </c>
      <c r="O3">
        <v>2</v>
      </c>
      <c r="P3">
        <v>3</v>
      </c>
      <c r="Q3" s="10"/>
      <c r="R3" s="10"/>
    </row>
    <row r="4" spans="1:18" x14ac:dyDescent="0.35">
      <c r="A4" s="9">
        <v>951774</v>
      </c>
      <c r="B4" s="8" t="s">
        <v>19</v>
      </c>
      <c r="C4" s="9" t="s">
        <v>1</v>
      </c>
      <c r="D4" s="8" t="s">
        <v>16</v>
      </c>
      <c r="E4" s="8" t="s">
        <v>22</v>
      </c>
      <c r="F4" s="8" t="s">
        <v>17</v>
      </c>
      <c r="G4" s="8">
        <v>9999</v>
      </c>
      <c r="H4" s="8">
        <v>1</v>
      </c>
      <c r="I4" s="12"/>
      <c r="J4" s="12" t="s">
        <v>25</v>
      </c>
      <c r="L4" t="s">
        <v>25</v>
      </c>
      <c r="N4" t="s">
        <v>25</v>
      </c>
      <c r="P4" t="s">
        <v>25</v>
      </c>
    </row>
    <row r="5" spans="1:18" x14ac:dyDescent="0.35">
      <c r="A5" s="9">
        <v>617977</v>
      </c>
      <c r="B5" s="8" t="s">
        <v>20</v>
      </c>
      <c r="C5" s="9" t="s">
        <v>2</v>
      </c>
      <c r="D5" s="8" t="s">
        <v>16</v>
      </c>
      <c r="E5" s="8" t="s">
        <v>23</v>
      </c>
      <c r="F5" s="8" t="s">
        <v>17</v>
      </c>
      <c r="G5" s="8">
        <v>9999</v>
      </c>
      <c r="H5" s="8">
        <v>1</v>
      </c>
      <c r="J5" t="s">
        <v>25</v>
      </c>
      <c r="M5" t="s">
        <v>25</v>
      </c>
      <c r="O5" t="s">
        <v>25</v>
      </c>
      <c r="P5" t="s">
        <v>25</v>
      </c>
    </row>
    <row r="6" spans="1:18" x14ac:dyDescent="0.35">
      <c r="A6" s="9">
        <v>339483</v>
      </c>
      <c r="B6" s="8" t="s">
        <v>21</v>
      </c>
      <c r="C6" s="9" t="s">
        <v>3</v>
      </c>
      <c r="D6" s="8" t="s">
        <v>16</v>
      </c>
      <c r="E6" s="8" t="s">
        <v>24</v>
      </c>
      <c r="F6" s="8" t="s">
        <v>17</v>
      </c>
      <c r="G6" s="8">
        <v>9999</v>
      </c>
      <c r="H6" s="8">
        <v>1</v>
      </c>
      <c r="J6" t="s">
        <v>25</v>
      </c>
      <c r="K6" t="s">
        <v>25</v>
      </c>
      <c r="L6" t="s">
        <v>25</v>
      </c>
      <c r="M6" t="s">
        <v>25</v>
      </c>
      <c r="O6" t="s">
        <v>25</v>
      </c>
      <c r="P6" t="s">
        <v>25</v>
      </c>
    </row>
    <row r="7" spans="1:18" x14ac:dyDescent="0.35">
      <c r="A7" s="6" t="s">
        <v>8</v>
      </c>
      <c r="B7" s="7"/>
      <c r="C7" s="7"/>
      <c r="D7" s="7"/>
      <c r="E7" s="7"/>
      <c r="F7" s="4"/>
      <c r="G7" s="4"/>
      <c r="H7" s="4"/>
    </row>
    <row r="8" spans="1:18" x14ac:dyDescent="0.35">
      <c r="A8" s="6" t="s">
        <v>18</v>
      </c>
      <c r="B8" s="7"/>
      <c r="C8" s="7"/>
      <c r="D8" s="7"/>
      <c r="E8" s="7"/>
      <c r="F8" s="4"/>
      <c r="G8" s="4"/>
      <c r="H8" s="4"/>
    </row>
    <row r="9" spans="1:18" x14ac:dyDescent="0.35">
      <c r="A9" s="5"/>
      <c r="B9" s="4"/>
      <c r="C9" s="4"/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</row>
    <row r="10" spans="1:18" x14ac:dyDescent="0.35">
      <c r="A10" s="5"/>
      <c r="B10" s="4"/>
      <c r="C10" s="4"/>
      <c r="D10" s="4"/>
      <c r="E10" s="4"/>
      <c r="F10" s="4"/>
      <c r="G10" s="4"/>
      <c r="H10" s="4"/>
      <c r="I10" s="14" t="s">
        <v>27</v>
      </c>
      <c r="J10" s="14"/>
      <c r="K10" s="14"/>
      <c r="L10" s="14"/>
      <c r="M10" s="14"/>
      <c r="N10" s="14"/>
      <c r="O10" s="14"/>
      <c r="P10" s="14"/>
    </row>
    <row r="12" spans="1:18" x14ac:dyDescent="0.35">
      <c r="I12" t="str">
        <f>TEXT(I2, "dd/mm/aaaa")</f>
        <v>04/07/2026</v>
      </c>
      <c r="J12" t="str">
        <f t="shared" ref="J12:P12" si="0">TEXT(J2, "dd/mm/aaaa")</f>
        <v>08/07/2026</v>
      </c>
      <c r="K12" t="str">
        <f t="shared" si="0"/>
        <v>11/07/2026</v>
      </c>
      <c r="L12" t="str">
        <f t="shared" si="0"/>
        <v>15/07/2026</v>
      </c>
      <c r="M12" t="str">
        <f t="shared" si="0"/>
        <v>18/07/2026</v>
      </c>
      <c r="N12" t="str">
        <f t="shared" si="0"/>
        <v>22/07/2026</v>
      </c>
      <c r="O12" t="str">
        <f t="shared" si="0"/>
        <v>25/07/2026</v>
      </c>
      <c r="P12" t="str">
        <f t="shared" si="0"/>
        <v>27/07/2026</v>
      </c>
    </row>
    <row r="13" spans="1:18" x14ac:dyDescent="0.35">
      <c r="I13">
        <f>I3</f>
        <v>2</v>
      </c>
      <c r="J13">
        <f t="shared" ref="J13:P13" si="1">J3</f>
        <v>3</v>
      </c>
      <c r="K13">
        <f t="shared" si="1"/>
        <v>2</v>
      </c>
      <c r="L13">
        <f t="shared" si="1"/>
        <v>3</v>
      </c>
      <c r="M13">
        <f t="shared" si="1"/>
        <v>2</v>
      </c>
      <c r="N13">
        <f t="shared" si="1"/>
        <v>3</v>
      </c>
      <c r="O13">
        <f t="shared" si="1"/>
        <v>2</v>
      </c>
      <c r="P13">
        <f t="shared" si="1"/>
        <v>3</v>
      </c>
    </row>
    <row r="14" spans="1:18" x14ac:dyDescent="0.35">
      <c r="H14" s="13">
        <f>A4</f>
        <v>951774</v>
      </c>
      <c r="I14">
        <f>IF(I4="x",0,I$13)</f>
        <v>2</v>
      </c>
      <c r="J14">
        <f t="shared" ref="J14:P14" si="2">IF(J4="x",0,J$13)</f>
        <v>0</v>
      </c>
      <c r="K14">
        <f t="shared" si="2"/>
        <v>2</v>
      </c>
      <c r="L14">
        <f t="shared" si="2"/>
        <v>0</v>
      </c>
      <c r="M14">
        <f t="shared" si="2"/>
        <v>2</v>
      </c>
      <c r="N14">
        <f t="shared" si="2"/>
        <v>0</v>
      </c>
      <c r="O14">
        <f t="shared" si="2"/>
        <v>2</v>
      </c>
      <c r="P14">
        <f t="shared" si="2"/>
        <v>0</v>
      </c>
    </row>
    <row r="15" spans="1:18" x14ac:dyDescent="0.35">
      <c r="H15" s="13">
        <f t="shared" ref="H15:H16" si="3">A5</f>
        <v>617977</v>
      </c>
      <c r="I15">
        <f>IF(I5="x",0,I$13)</f>
        <v>2</v>
      </c>
      <c r="J15">
        <f>IF(J5="x",0,J$13)</f>
        <v>0</v>
      </c>
      <c r="K15">
        <f>IF(K5="x",0,K$13)</f>
        <v>2</v>
      </c>
      <c r="L15">
        <f>IF(L5="x",0,L$13)</f>
        <v>3</v>
      </c>
      <c r="M15">
        <f>IF(M5="x",0,M$13)</f>
        <v>0</v>
      </c>
      <c r="N15">
        <f>IF(N5="x",0,N$13)</f>
        <v>3</v>
      </c>
      <c r="O15">
        <f>IF(O5="x",0,O$13)</f>
        <v>0</v>
      </c>
      <c r="P15">
        <f>IF(P5="x",0,P$13)</f>
        <v>0</v>
      </c>
    </row>
    <row r="16" spans="1:18" x14ac:dyDescent="0.35">
      <c r="H16" s="13">
        <f t="shared" si="3"/>
        <v>339483</v>
      </c>
      <c r="I16">
        <f>IF(I6="x",0,I$13)</f>
        <v>2</v>
      </c>
      <c r="J16">
        <f>IF(J6="x",0,J$13)</f>
        <v>0</v>
      </c>
      <c r="K16">
        <f>IF(K6="x",0,K$13)</f>
        <v>0</v>
      </c>
      <c r="L16">
        <f>IF(L6="x",0,L$13)</f>
        <v>0</v>
      </c>
      <c r="M16">
        <f>IF(M6="x",0,M$13)</f>
        <v>0</v>
      </c>
      <c r="N16">
        <f>IF(N6="x",0,N$13)</f>
        <v>3</v>
      </c>
      <c r="O16">
        <f>IF(O6="x",0,O$13)</f>
        <v>0</v>
      </c>
      <c r="P16">
        <f>IF(P6="x",0,P$13)</f>
        <v>0</v>
      </c>
    </row>
    <row r="19" spans="7:18" x14ac:dyDescent="0.35">
      <c r="G19" s="14" t="s">
        <v>26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1" spans="7:18" x14ac:dyDescent="0.35">
      <c r="I21" t="str">
        <f>_xlfn.CONCAT(_xlfn.TEXTJOIN("&amp;", FALSE, I12:P12),";")</f>
        <v>04/07/2026&amp;08/07/2026&amp;11/07/2026&amp;15/07/2026&amp;18/07/2026&amp;22/07/2026&amp;25/07/2026&amp;27/07/2026;</v>
      </c>
    </row>
    <row r="22" spans="7:18" x14ac:dyDescent="0.35">
      <c r="I22" t="str">
        <f>_xlfn.CONCAT(_xlfn.TEXTJOIN("&amp;", FALSE,I13:P13),";")</f>
        <v>2&amp;3&amp;2&amp;3&amp;2&amp;3&amp;2&amp;3;</v>
      </c>
    </row>
    <row r="23" spans="7:18" x14ac:dyDescent="0.35">
      <c r="I23" t="str">
        <f>_xlfn.CONCAT(_xlfn.TEXTJOIN("&amp;", FALSE, H14:P14),";")</f>
        <v>951774&amp;2&amp;0&amp;2&amp;0&amp;2&amp;0&amp;2&amp;0;</v>
      </c>
    </row>
    <row r="24" spans="7:18" x14ac:dyDescent="0.35">
      <c r="I24" t="str">
        <f t="shared" ref="I24:I25" si="4">_xlfn.CONCAT(_xlfn.TEXTJOIN("&amp;", FALSE, H15:P15),";")</f>
        <v>617977&amp;2&amp;0&amp;2&amp;3&amp;0&amp;3&amp;0&amp;0;</v>
      </c>
    </row>
    <row r="25" spans="7:18" x14ac:dyDescent="0.35">
      <c r="I25" t="str">
        <f t="shared" si="4"/>
        <v>339483&amp;2&amp;0&amp;0&amp;0&amp;0&amp;3&amp;0&amp;0;</v>
      </c>
    </row>
    <row r="28" spans="7:18" x14ac:dyDescent="0.35">
      <c r="G28" s="14" t="s">
        <v>28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7">
    <mergeCell ref="G19:R19"/>
    <mergeCell ref="G28:R28"/>
    <mergeCell ref="A1:E1"/>
    <mergeCell ref="A2:E2"/>
    <mergeCell ref="A7:E7"/>
    <mergeCell ref="A8:E8"/>
    <mergeCell ref="I10:P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9" sqref="D9"/>
    </sheetView>
  </sheetViews>
  <sheetFormatPr defaultRowHeight="14.5" x14ac:dyDescent="0.35"/>
  <cols>
    <col min="2" max="2" width="11.7265625" style="1" customWidth="1"/>
    <col min="3" max="3" width="13.7265625" customWidth="1"/>
    <col min="4" max="4" width="17.453125" customWidth="1"/>
  </cols>
  <sheetData>
    <row r="1" spans="1:4" x14ac:dyDescent="0.35">
      <c r="A1" s="1" t="s">
        <v>0</v>
      </c>
      <c r="B1" s="1" t="s">
        <v>4</v>
      </c>
      <c r="C1" s="1" t="s">
        <v>5</v>
      </c>
      <c r="D1" s="2" t="s">
        <v>6</v>
      </c>
    </row>
    <row r="2" spans="1:4" x14ac:dyDescent="0.35">
      <c r="A2" s="2" t="s">
        <v>1</v>
      </c>
      <c r="B2" s="1">
        <v>951774</v>
      </c>
      <c r="C2" s="3">
        <v>9.4</v>
      </c>
      <c r="D2" t="str">
        <f>_xlfn.CONCAT(B2,"&amp;",TEXT(C2, "0,0"),";")</f>
        <v>951774&amp;9,4;</v>
      </c>
    </row>
    <row r="3" spans="1:4" x14ac:dyDescent="0.35">
      <c r="A3" s="2" t="s">
        <v>2</v>
      </c>
      <c r="B3" s="1">
        <v>617977</v>
      </c>
      <c r="C3" s="3">
        <v>0</v>
      </c>
      <c r="D3" t="str">
        <f t="shared" ref="D3:D4" si="0">_xlfn.CONCAT(B3,"&amp;",TEXT(C3, "0,0"),";")</f>
        <v>617977&amp;0,0;</v>
      </c>
    </row>
    <row r="4" spans="1:4" x14ac:dyDescent="0.35">
      <c r="A4" s="2" t="s">
        <v>3</v>
      </c>
      <c r="B4" s="1">
        <v>339483</v>
      </c>
      <c r="C4" s="3">
        <v>2.7</v>
      </c>
      <c r="D4" t="str">
        <f t="shared" si="0"/>
        <v>339483&amp;2,7;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Faltas (Modelo B)</vt:lpstr>
      <vt:lpstr>Faltas (Modelo A)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Avell</dc:creator>
  <cp:lastModifiedBy>Avell</cp:lastModifiedBy>
  <dcterms:created xsi:type="dcterms:W3CDTF">2015-06-05T18:19:34Z</dcterms:created>
  <dcterms:modified xsi:type="dcterms:W3CDTF">2026-07-10T18:29:38Z</dcterms:modified>
</cp:coreProperties>
</file>